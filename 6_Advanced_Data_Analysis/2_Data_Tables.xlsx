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6_Advanced_Data_Analysis\"/>
    </mc:Choice>
  </mc:AlternateContent>
  <xr:revisionPtr revIDLastSave="0" documentId="13_ncr:1_{F1F12FBC-8CFC-45C5-8743-255C09D58CF0}" xr6:coauthVersionLast="36" xr6:coauthVersionMax="47" xr10:uidLastSave="{00000000-0000-0000-0000-000000000000}"/>
  <bookViews>
    <workbookView xWindow="0" yWindow="0" windowWidth="17256" windowHeight="5064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9" i="3"/>
  <c r="F3" i="3" s="1"/>
  <c r="C14" i="4" l="1"/>
  <c r="E3" i="4" s="1"/>
  <c r="C13" i="3"/>
  <c r="J3" i="3" s="1"/>
  <c r="C12" i="3"/>
  <c r="I3" i="3" s="1"/>
  <c r="C11" i="3"/>
  <c r="H3" i="3" s="1"/>
  <c r="C10" i="3"/>
  <c r="G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<sst xmlns="http://schemas.openxmlformats.org/spreadsheetml/2006/main" count="50" uniqueCount="13">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</sst>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4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0" fillId="0" borderId="21" xfId="1" applyNumberFormat="1" applyFont="1" applyBorder="1"/>
    <xf numFmtId="164" fontId="0" fillId="0" borderId="22" xfId="1" applyNumberFormat="1" applyFont="1" applyBorder="1"/>
    <xf numFmtId="164" fontId="0" fillId="0" borderId="23" xfId="1" applyNumberFormat="1" applyFont="1" applyBorder="1"/>
    <xf numFmtId="164" fontId="6" fillId="0" borderId="24" xfId="2" applyNumberFormat="1" applyFont="1" applyBorder="1"/>
    <xf numFmtId="164" fontId="5" fillId="0" borderId="20" xfId="0" applyNumberFormat="1" applyFont="1" applyBorder="1"/>
    <xf numFmtId="165" fontId="2" fillId="0" borderId="24" xfId="0" applyNumberFormat="1" applyFont="1" applyBorder="1"/>
    <xf numFmtId="165" fontId="2" fillId="0" borderId="25" xfId="0" applyNumberFormat="1" applyFont="1" applyBorder="1"/>
    <xf numFmtId="165" fontId="2" fillId="0" borderId="26" xfId="0" applyNumberFormat="1" applyFont="1" applyBorder="1"/>
    <xf numFmtId="9" fontId="9" fillId="0" borderId="19" xfId="2" applyFont="1" applyBorder="1"/>
    <xf numFmtId="9" fontId="9" fillId="0" borderId="27" xfId="2" applyFont="1" applyBorder="1"/>
    <xf numFmtId="9" fontId="9" fillId="0" borderId="28" xfId="2" applyFont="1" applyBorder="1"/>
    <xf numFmtId="0" fontId="2" fillId="0" borderId="2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E4" sqref="E4:E12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4.4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>
      <c r="B3" s="6" t="s">
        <v>0</v>
      </c>
      <c r="C3" s="25">
        <v>100000</v>
      </c>
      <c r="E3" s="36"/>
      <c r="F3" s="35">
        <f>C9</f>
        <v>110000.00000000001</v>
      </c>
      <c r="G3" s="35">
        <f>C10</f>
        <v>111650</v>
      </c>
      <c r="H3" s="35">
        <f>C11</f>
        <v>113324.74999999997</v>
      </c>
      <c r="I3" s="35">
        <f>C12</f>
        <v>115024.62124999997</v>
      </c>
      <c r="J3" s="35">
        <f>C13</f>
        <v>116749.99056874996</v>
      </c>
      <c r="K3" s="35">
        <f>C14</f>
        <v>566749.36181874992</v>
      </c>
    </row>
    <row r="4" spans="2:11">
      <c r="B4" s="6" t="s">
        <v>1</v>
      </c>
      <c r="C4" s="26">
        <v>0.1</v>
      </c>
      <c r="E4" s="3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32">
        <v>550000.00000000012</v>
      </c>
    </row>
    <row r="5" spans="2:11" ht="14.4" thickBot="1">
      <c r="B5" s="8" t="s">
        <v>2</v>
      </c>
      <c r="C5" s="27">
        <v>1.4999999999999999E-2</v>
      </c>
      <c r="E5" s="38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32">
        <v>555527.56881874998</v>
      </c>
    </row>
    <row r="6" spans="2:11" ht="14.4" thickBot="1">
      <c r="E6" s="38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32">
        <v>561110.55110000004</v>
      </c>
    </row>
    <row r="7" spans="2:11" ht="14.4">
      <c r="B7" s="28" t="s">
        <v>10</v>
      </c>
      <c r="C7" s="29"/>
      <c r="E7" s="38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32">
        <v>566749.36181874992</v>
      </c>
    </row>
    <row r="8" spans="2:11">
      <c r="B8" s="14" t="s">
        <v>11</v>
      </c>
      <c r="C8" s="15" t="s">
        <v>12</v>
      </c>
      <c r="E8" s="38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32">
        <v>572444.41760000004</v>
      </c>
    </row>
    <row r="9" spans="2:11">
      <c r="B9" s="9">
        <v>0</v>
      </c>
      <c r="C9" s="7">
        <f>(base*(1+raise)^B9)*(1+bonus)</f>
        <v>110000.00000000001</v>
      </c>
      <c r="E9" s="38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32">
        <v>578196.13671875</v>
      </c>
    </row>
    <row r="10" spans="2:11">
      <c r="B10" s="9">
        <v>1</v>
      </c>
      <c r="C10" s="7">
        <f>(base*(1+raise)^B10)*(1+bonus)</f>
        <v>111650</v>
      </c>
      <c r="E10" s="38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32">
        <v>584004.93910000008</v>
      </c>
    </row>
    <row r="11" spans="2:11">
      <c r="B11" s="9">
        <v>2</v>
      </c>
      <c r="C11" s="7">
        <f>(base*(1+raise)^B11)*(1+bonus)</f>
        <v>113324.74999999997</v>
      </c>
      <c r="E11" s="38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32">
        <v>589871.24631874997</v>
      </c>
    </row>
    <row r="12" spans="2:11">
      <c r="B12" s="9">
        <v>3</v>
      </c>
      <c r="C12" s="7">
        <f>(base*(1+raise)^B12)*(1+bonus)</f>
        <v>115024.62124999997</v>
      </c>
      <c r="E12" s="39">
        <v>0.04</v>
      </c>
      <c r="F12" s="33">
        <v>110000.00000000001</v>
      </c>
      <c r="G12" s="33">
        <v>114400.00000000001</v>
      </c>
      <c r="H12" s="33">
        <v>118976.00000000003</v>
      </c>
      <c r="I12" s="33">
        <v>123735.04000000002</v>
      </c>
      <c r="J12" s="33">
        <v>128684.44160000002</v>
      </c>
      <c r="K12" s="34">
        <v>595795.48160000006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theme="4" tint="0.59999389629810485"/>
      </colorScale>
    </cfRule>
  </conditionalFormatting>
  <conditionalFormatting sqref="K4:K12">
    <cfRule type="colorScale" priority="1">
      <colorScale>
        <cfvo type="min"/>
        <cfvo type="max"/>
        <color rgb="FFFCFCFF"/>
        <color theme="4" tint="0.5999938962981048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EC80-E3B5-408D-9957-3186FA4536EB}">
  <dimension ref="B1:K14"/>
  <sheetViews>
    <sheetView tabSelected="1" zoomScale="70" zoomScaleNormal="70" workbookViewId="0">
      <selection activeCell="I23" sqref="I23"/>
    </sheetView>
  </sheetViews>
  <sheetFormatPr defaultRowHeight="13.8"/>
  <cols>
    <col min="2" max="2" width="11.5" customWidth="1"/>
    <col min="3" max="3" width="11.8984375" bestFit="1" customWidth="1"/>
    <col min="5" max="5" width="12.3984375" bestFit="1" customWidth="1"/>
    <col min="6" max="11" width="11" customWidth="1"/>
  </cols>
  <sheetData>
    <row r="1" spans="2:11" ht="14.4" thickBot="1"/>
    <row r="2" spans="2:11" ht="14.4">
      <c r="B2" s="28" t="s">
        <v>9</v>
      </c>
      <c r="C2" s="29"/>
      <c r="E2" s="5" t="s">
        <v>2</v>
      </c>
      <c r="F2" s="43" t="s">
        <v>1</v>
      </c>
      <c r="G2" s="43"/>
      <c r="H2" s="43"/>
      <c r="I2" s="43"/>
      <c r="J2" s="43"/>
      <c r="K2" s="43"/>
    </row>
    <row r="3" spans="2:11">
      <c r="B3" s="6" t="s">
        <v>0</v>
      </c>
      <c r="C3" s="25">
        <v>100000</v>
      </c>
      <c r="E3" s="36">
        <f>C14</f>
        <v>566749.36181874992</v>
      </c>
      <c r="F3" s="40">
        <v>0</v>
      </c>
      <c r="G3" s="41">
        <v>0.05</v>
      </c>
      <c r="H3" s="41">
        <v>0.1</v>
      </c>
      <c r="I3" s="41">
        <v>0.15</v>
      </c>
      <c r="J3" s="41">
        <v>0.2</v>
      </c>
      <c r="K3" s="42">
        <v>0.25</v>
      </c>
    </row>
    <row r="4" spans="2:11">
      <c r="B4" s="6" t="s">
        <v>1</v>
      </c>
      <c r="C4" s="26">
        <v>0.1</v>
      </c>
      <c r="E4" s="37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32">
        <v>625000</v>
      </c>
    </row>
    <row r="5" spans="2:11" ht="14.4" thickBot="1">
      <c r="B5" s="8" t="s">
        <v>2</v>
      </c>
      <c r="C5" s="27">
        <v>1.4999999999999999E-2</v>
      </c>
      <c r="E5" s="38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32">
        <v>631281.32820312493</v>
      </c>
    </row>
    <row r="6" spans="2:11" ht="14.4" thickBot="1">
      <c r="E6" s="38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32">
        <v>637625.62624999997</v>
      </c>
    </row>
    <row r="7" spans="2:11" ht="14.4">
      <c r="B7" s="28" t="s">
        <v>10</v>
      </c>
      <c r="C7" s="29"/>
      <c r="E7" s="38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32">
        <v>644033.3657031249</v>
      </c>
    </row>
    <row r="8" spans="2:11">
      <c r="B8" s="14" t="s">
        <v>11</v>
      </c>
      <c r="C8" s="15" t="s">
        <v>12</v>
      </c>
      <c r="E8" s="38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32">
        <v>650505.02</v>
      </c>
    </row>
    <row r="9" spans="2:11">
      <c r="B9" s="9">
        <v>0</v>
      </c>
      <c r="C9" s="7">
        <f>(base*(1+raise)^B9)*(1+bonus)</f>
        <v>110000.00000000001</v>
      </c>
      <c r="E9" s="38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32">
        <v>657041.064453125</v>
      </c>
    </row>
    <row r="10" spans="2:11">
      <c r="B10" s="9">
        <v>1</v>
      </c>
      <c r="C10" s="7">
        <f>(base*(1+raise)^B10)*(1+bonus)</f>
        <v>111650</v>
      </c>
      <c r="E10" s="38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32">
        <v>663641.97625000007</v>
      </c>
    </row>
    <row r="11" spans="2:11">
      <c r="B11" s="9">
        <v>2</v>
      </c>
      <c r="C11" s="7">
        <f>(base*(1+raise)^B11)*(1+bonus)</f>
        <v>113324.74999999997</v>
      </c>
      <c r="E11" s="38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32">
        <v>670308.23445312493</v>
      </c>
    </row>
    <row r="12" spans="2:11">
      <c r="B12" s="9">
        <v>3</v>
      </c>
      <c r="C12" s="7">
        <f>(base*(1+raise)^B12)*(1+bonus)</f>
        <v>115024.62124999997</v>
      </c>
      <c r="E12" s="39">
        <v>0.04</v>
      </c>
      <c r="F12" s="33">
        <v>541632.25600000005</v>
      </c>
      <c r="G12" s="33">
        <v>568713.86880000005</v>
      </c>
      <c r="H12" s="33">
        <v>595795.48160000006</v>
      </c>
      <c r="I12" s="33">
        <v>622877.09440000006</v>
      </c>
      <c r="J12" s="33">
        <v>649958.70720000006</v>
      </c>
      <c r="K12" s="34">
        <v>677040.32000000007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topLeftCell="D1" zoomScaleNormal="100" workbookViewId="0">
      <selection activeCell="K28" sqref="K28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5" thickBot="1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4" thickBot="1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4" thickBot="1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4" thickBot="1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4.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4" thickBot="1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topLeftCell="D1" zoomScaleNormal="100" workbookViewId="0">
      <selection activeCell="B2" sqref="B2:C5"/>
    </sheetView>
  </sheetViews>
  <sheetFormatPr defaultRowHeight="13.8"/>
  <cols>
    <col min="2" max="2" width="11.5" customWidth="1"/>
    <col min="3" max="3" width="11.8984375" bestFit="1" customWidth="1"/>
    <col min="5" max="5" width="11" bestFit="1" customWidth="1"/>
    <col min="6" max="11" width="11" customWidth="1"/>
  </cols>
  <sheetData>
    <row r="1" spans="2:11" ht="14.4" thickBot="1"/>
    <row r="2" spans="2:11" ht="15" thickBot="1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4" thickBot="1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4" thickBot="1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4" thickBot="1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4.4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4" thickBot="1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>
      <c r="B13" s="9">
        <v>4</v>
      </c>
      <c r="C13" s="7">
        <f>(base*(1+raise)^B13)*(1+bonus)</f>
        <v>116749.99056874996</v>
      </c>
    </row>
    <row r="14" spans="2:11" ht="14.4" thickBot="1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ASUS</cp:lastModifiedBy>
  <dcterms:created xsi:type="dcterms:W3CDTF">2024-08-08T18:34:47Z</dcterms:created>
  <dcterms:modified xsi:type="dcterms:W3CDTF">2025-11-27T20:43:49Z</dcterms:modified>
</cp:coreProperties>
</file>