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2_Formulas_Functions\"/>
    </mc:Choice>
  </mc:AlternateContent>
  <xr:revisionPtr revIDLastSave="0" documentId="13_ncr:1_{892B58CC-2265-4AFE-920A-FE99D0757000}" xr6:coauthVersionLast="36" xr6:coauthVersionMax="47" xr10:uidLastSave="{00000000-0000-0000-0000-000000000000}"/>
  <bookViews>
    <workbookView xWindow="0" yWindow="0" windowWidth="17256" windowHeight="5064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8" i="8" l="1"/>
  <c r="AB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9" i="8"/>
  <c r="AB20" i="8"/>
  <c r="AB21" i="8"/>
  <c r="AB22" i="8"/>
  <c r="AB23" i="8"/>
  <c r="AB24" i="8"/>
  <c r="AB25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" i="8"/>
  <c r="AA2" i="8"/>
  <c r="AA25" i="8"/>
  <c r="AA22" i="8"/>
  <c r="AA23" i="8"/>
  <c r="AA24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Y3" i="8" l="1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20" i="8"/>
  <c r="X20" i="8" s="1"/>
  <c r="U20" i="8"/>
  <c r="V20" i="8"/>
  <c r="T21" i="8"/>
  <c r="U21" i="8"/>
  <c r="V21" i="8"/>
  <c r="X21" i="8" s="1"/>
  <c r="T3" i="8"/>
  <c r="U3" i="8"/>
  <c r="V3" i="8"/>
  <c r="X3" i="8"/>
  <c r="T4" i="8"/>
  <c r="U4" i="8"/>
  <c r="V4" i="8"/>
  <c r="X4" i="8"/>
  <c r="T5" i="8"/>
  <c r="U5" i="8"/>
  <c r="V5" i="8"/>
  <c r="X5" i="8"/>
  <c r="T6" i="8"/>
  <c r="U6" i="8"/>
  <c r="V6" i="8"/>
  <c r="X6" i="8"/>
  <c r="T7" i="8"/>
  <c r="U7" i="8"/>
  <c r="V7" i="8"/>
  <c r="X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U11" i="8"/>
  <c r="V11" i="8"/>
  <c r="X11" i="8"/>
  <c r="T12" i="8"/>
  <c r="U12" i="8"/>
  <c r="V12" i="8"/>
  <c r="X12" i="8"/>
  <c r="T13" i="8"/>
  <c r="U13" i="8"/>
  <c r="V13" i="8"/>
  <c r="X13" i="8"/>
  <c r="T14" i="8"/>
  <c r="U14" i="8"/>
  <c r="V14" i="8"/>
  <c r="X14" i="8"/>
  <c r="T15" i="8"/>
  <c r="U15" i="8"/>
  <c r="V15" i="8"/>
  <c r="X15" i="8"/>
  <c r="T16" i="8"/>
  <c r="U16" i="8"/>
  <c r="V16" i="8"/>
  <c r="X16" i="8"/>
  <c r="T17" i="8"/>
  <c r="U17" i="8"/>
  <c r="V17" i="8"/>
  <c r="X17" i="8"/>
  <c r="T18" i="8"/>
  <c r="U18" i="8"/>
  <c r="V18" i="8"/>
  <c r="X18" i="8"/>
  <c r="T19" i="8"/>
  <c r="U19" i="8"/>
  <c r="V19" i="8"/>
  <c r="X19" i="8"/>
  <c r="X2" i="8"/>
  <c r="V2" i="8"/>
  <c r="U2" i="8"/>
  <c r="T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" i="8"/>
  <c r="R3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R21" i="8" l="1"/>
  <c r="R19" i="8"/>
  <c r="R17" i="8"/>
  <c r="R13" i="8"/>
  <c r="R11" i="8"/>
  <c r="R9" i="8"/>
  <c r="R18" i="8"/>
  <c r="R10" i="8"/>
  <c r="R16" i="8"/>
  <c r="R8" i="8"/>
  <c r="R15" i="8"/>
  <c r="R7" i="8"/>
  <c r="R2" i="8"/>
  <c r="R14" i="8"/>
  <c r="R6" i="8"/>
  <c r="R5" i="8"/>
  <c r="R20" i="8"/>
  <c r="R12" i="8"/>
  <c r="R4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<sst xmlns="http://schemas.openxmlformats.org/spreadsheetml/2006/main" count="471" uniqueCount="96">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</sst>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Postings per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9-447E-85DF-96C15A75D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695023"/>
        <c:axId val="1018813727"/>
      </c:barChart>
      <c:catAx>
        <c:axId val="11506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13727"/>
        <c:crosses val="autoZero"/>
        <c:auto val="1"/>
        <c:lblAlgn val="ctr"/>
        <c:lblOffset val="100"/>
        <c:noMultiLvlLbl val="0"/>
      </c:catAx>
      <c:valAx>
        <c:axId val="10188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9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464820</xdr:colOff>
      <xdr:row>3</xdr:row>
      <xdr:rowOff>0</xdr:rowOff>
    </xdr:from>
    <xdr:to>
      <xdr:col>36</xdr:col>
      <xdr:colOff>160020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AF582-9299-44D2-A24A-81F0199CE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opLeftCell="X1" workbookViewId="0">
      <selection activeCell="AB19" sqref="AB19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5" width="8.88671875" customWidth="1"/>
    <col min="16" max="16" width="9.5546875" bestFit="1" customWidth="1"/>
    <col min="17" max="17" width="8.88671875" customWidth="1"/>
    <col min="18" max="18" width="16" customWidth="1"/>
    <col min="19" max="23" width="8.88671875" customWidth="1"/>
    <col min="24" max="24" width="14.33203125" customWidth="1"/>
    <col min="25" max="25" width="15.21875" bestFit="1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45963</v>
      </c>
      <c r="R2">
        <f ca="1">DATEDIF(N2,$P$2,"D")</f>
        <v>992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>
        <f>HOUR(D2:D21)</f>
        <v>15</v>
      </c>
      <c r="AA2">
        <f>ROW(A1)</f>
        <v>1</v>
      </c>
      <c r="AB2">
        <f>COUNTIF($Z$2:$Z$21,AA2)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t="shared" ref="P3:P21" ca="1" si="4">TODAY()</f>
        <v>45963</v>
      </c>
      <c r="R3">
        <f t="shared" ref="R3:R21" ca="1" si="5">DATEDIF(N3,$P$2,"D")</f>
        <v>908</v>
      </c>
      <c r="T3">
        <f t="shared" ref="T3:T19" si="6">HOUR(D3)</f>
        <v>9</v>
      </c>
      <c r="U3">
        <f t="shared" ref="U3:U19" si="7">MINUTE(D3)</f>
        <v>45</v>
      </c>
      <c r="V3">
        <f t="shared" ref="V3:V19" si="8">SECOND(D3)</f>
        <v>32</v>
      </c>
      <c r="X3" s="13">
        <f t="shared" ref="X3:X19" si="9">TIME(T3,U3,V3)</f>
        <v>0.40662037037037035</v>
      </c>
      <c r="Y3" t="str">
        <f t="shared" ref="Y3:Y21" si="10">TEXT(D3,"HH:MM AM/PM")</f>
        <v>09:45 AM</v>
      </c>
      <c r="Z3">
        <f t="shared" ref="Z3:Z21" si="11">HOUR(D3:D22)</f>
        <v>9</v>
      </c>
      <c r="AA3">
        <f t="shared" ref="AA3:AA24" si="12">ROW(A2)</f>
        <v>2</v>
      </c>
      <c r="AB3">
        <f t="shared" ref="AB3:AB25" si="13">COUNTIF($Z$2:$Z$21,AA3)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t="shared" ca="1" si="4"/>
        <v>45963</v>
      </c>
      <c r="R4">
        <f t="shared" ca="1" si="5"/>
        <v>835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0.72971064814814823</v>
      </c>
      <c r="Y4" t="str">
        <f t="shared" si="10"/>
        <v>05:30 PM</v>
      </c>
      <c r="Z4">
        <f t="shared" si="11"/>
        <v>17</v>
      </c>
      <c r="AA4">
        <f t="shared" si="12"/>
        <v>3</v>
      </c>
      <c r="AB4">
        <f t="shared" si="13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ca="1" si="4"/>
        <v>45963</v>
      </c>
      <c r="R5">
        <f t="shared" ca="1" si="5"/>
        <v>790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 AM</v>
      </c>
      <c r="Z5">
        <f t="shared" si="11"/>
        <v>7</v>
      </c>
      <c r="AA5">
        <f t="shared" si="12"/>
        <v>4</v>
      </c>
      <c r="AB5">
        <f t="shared" si="13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4"/>
        <v>45963</v>
      </c>
      <c r="R6">
        <f t="shared" ca="1" si="5"/>
        <v>715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05:00 PM</v>
      </c>
      <c r="Z6">
        <f t="shared" si="11"/>
        <v>17</v>
      </c>
      <c r="AA6">
        <f t="shared" si="12"/>
        <v>5</v>
      </c>
      <c r="AB6">
        <f t="shared" si="13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4"/>
        <v>45963</v>
      </c>
      <c r="R7">
        <f t="shared" ca="1" si="5"/>
        <v>661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0.53192129629629636</v>
      </c>
      <c r="Y7" t="str">
        <f t="shared" si="10"/>
        <v>12:45 PM</v>
      </c>
      <c r="Z7">
        <f t="shared" si="11"/>
        <v>12</v>
      </c>
      <c r="AA7">
        <f t="shared" si="12"/>
        <v>6</v>
      </c>
      <c r="AB7">
        <f t="shared" si="13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4"/>
        <v>45963</v>
      </c>
      <c r="R8">
        <f t="shared" ca="1" si="5"/>
        <v>609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04:30 PM</v>
      </c>
      <c r="Z8">
        <f t="shared" si="11"/>
        <v>16</v>
      </c>
      <c r="AA8">
        <f t="shared" si="12"/>
        <v>7</v>
      </c>
      <c r="AB8">
        <f t="shared" si="13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4"/>
        <v>45963</v>
      </c>
      <c r="R9">
        <f t="shared" ca="1" si="5"/>
        <v>555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 AM</v>
      </c>
      <c r="Z9">
        <f t="shared" si="11"/>
        <v>8</v>
      </c>
      <c r="AA9">
        <f t="shared" si="12"/>
        <v>8</v>
      </c>
      <c r="AB9">
        <f t="shared" si="13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4"/>
        <v>45963</v>
      </c>
      <c r="R10">
        <f t="shared" ca="1" si="5"/>
        <v>505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05:50 PM</v>
      </c>
      <c r="Z10">
        <f t="shared" si="11"/>
        <v>17</v>
      </c>
      <c r="AA10">
        <f t="shared" si="12"/>
        <v>9</v>
      </c>
      <c r="AB10">
        <f t="shared" si="13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4"/>
        <v>45963</v>
      </c>
      <c r="R11">
        <f t="shared" ca="1" si="5"/>
        <v>483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02:35 PM</v>
      </c>
      <c r="Z11">
        <f t="shared" si="11"/>
        <v>14</v>
      </c>
      <c r="AA11">
        <f t="shared" si="12"/>
        <v>10</v>
      </c>
      <c r="AB11">
        <f t="shared" si="13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4"/>
        <v>45963</v>
      </c>
      <c r="R12">
        <f t="shared" ca="1" si="5"/>
        <v>508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0.28493055555555552</v>
      </c>
      <c r="Y12" t="str">
        <f t="shared" si="10"/>
        <v>06:50 AM</v>
      </c>
      <c r="Z12">
        <f t="shared" si="11"/>
        <v>6</v>
      </c>
      <c r="AA12">
        <f t="shared" si="12"/>
        <v>11</v>
      </c>
      <c r="AB12">
        <f t="shared" si="13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4"/>
        <v>45963</v>
      </c>
      <c r="R13">
        <f t="shared" ca="1" si="5"/>
        <v>1012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01:15 PM</v>
      </c>
      <c r="Z13">
        <f t="shared" si="11"/>
        <v>13</v>
      </c>
      <c r="AA13">
        <f t="shared" si="12"/>
        <v>12</v>
      </c>
      <c r="AB13">
        <f t="shared" si="13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4"/>
        <v>45963</v>
      </c>
      <c r="R14">
        <f t="shared" ca="1" si="5"/>
        <v>961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0.49003472222222227</v>
      </c>
      <c r="Y14" t="str">
        <f t="shared" si="10"/>
        <v>11:45 AM</v>
      </c>
      <c r="Z14">
        <f t="shared" si="11"/>
        <v>11</v>
      </c>
      <c r="AA14">
        <f t="shared" si="12"/>
        <v>13</v>
      </c>
      <c r="AB14">
        <f t="shared" si="13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4"/>
        <v>45963</v>
      </c>
      <c r="R15">
        <f t="shared" ca="1" si="5"/>
        <v>885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 AM</v>
      </c>
      <c r="Z15">
        <f t="shared" si="11"/>
        <v>10</v>
      </c>
      <c r="AA15">
        <f t="shared" si="12"/>
        <v>14</v>
      </c>
      <c r="AB15">
        <f t="shared" si="13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4"/>
        <v>45963</v>
      </c>
      <c r="R16">
        <f t="shared" ca="1" si="5"/>
        <v>795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0.72932870370370362</v>
      </c>
      <c r="Y16" t="str">
        <f t="shared" si="10"/>
        <v>05:30 PM</v>
      </c>
      <c r="Z16">
        <f t="shared" si="11"/>
        <v>17</v>
      </c>
      <c r="AA16">
        <f t="shared" si="12"/>
        <v>15</v>
      </c>
      <c r="AB16">
        <f t="shared" si="13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4"/>
        <v>45963</v>
      </c>
      <c r="R17">
        <f t="shared" ca="1" si="5"/>
        <v>745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 AM</v>
      </c>
      <c r="Z17">
        <f t="shared" si="11"/>
        <v>7</v>
      </c>
      <c r="AA17">
        <f t="shared" si="12"/>
        <v>16</v>
      </c>
      <c r="AB17">
        <f t="shared" si="13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4"/>
        <v>45963</v>
      </c>
      <c r="R18">
        <f t="shared" ca="1" si="5"/>
        <v>613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05:15 PM</v>
      </c>
      <c r="Z18">
        <f t="shared" si="11"/>
        <v>17</v>
      </c>
      <c r="AA18">
        <f t="shared" si="12"/>
        <v>17</v>
      </c>
      <c r="AB18">
        <f>COUNTIF($Z$2:$Z$21,AA18)</f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4"/>
        <v>45963</v>
      </c>
      <c r="R19">
        <f t="shared" ca="1" si="5"/>
        <v>545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0.72635416666666675</v>
      </c>
      <c r="Y19" t="str">
        <f t="shared" si="10"/>
        <v>05:25 PM</v>
      </c>
      <c r="Z19">
        <f t="shared" si="11"/>
        <v>17</v>
      </c>
      <c r="AA19">
        <f t="shared" si="12"/>
        <v>18</v>
      </c>
      <c r="AB19">
        <f t="shared" si="13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4"/>
        <v>45963</v>
      </c>
      <c r="R20">
        <f t="shared" ca="1" si="5"/>
        <v>467</v>
      </c>
      <c r="T20">
        <f>HOUR(D20)</f>
        <v>7</v>
      </c>
      <c r="U20">
        <f>MINUTE(D20)</f>
        <v>0</v>
      </c>
      <c r="V20">
        <f>SECOND(D20)</f>
        <v>3</v>
      </c>
      <c r="X20" s="13">
        <f>TIME(T20,U20,V20)</f>
        <v>0.29170138888888891</v>
      </c>
      <c r="Y20" t="str">
        <f t="shared" si="10"/>
        <v>07:00 AM</v>
      </c>
      <c r="Z20">
        <f t="shared" si="11"/>
        <v>7</v>
      </c>
      <c r="AA20">
        <f t="shared" si="12"/>
        <v>19</v>
      </c>
      <c r="AB20">
        <f t="shared" si="13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4"/>
        <v>45963</v>
      </c>
      <c r="R21">
        <f t="shared" ca="1" si="5"/>
        <v>541</v>
      </c>
      <c r="T21">
        <f t="shared" ref="T21" si="14">HOUR(D21)</f>
        <v>17</v>
      </c>
      <c r="U21">
        <f t="shared" ref="U21" si="15">MINUTE(D21)</f>
        <v>45</v>
      </c>
      <c r="V21">
        <f t="shared" ref="V21" si="16">SECOND(D21)</f>
        <v>26</v>
      </c>
      <c r="X21" s="13">
        <f t="shared" ref="X21" si="17">TIME(T21,U21,V21)</f>
        <v>0.73988425925925927</v>
      </c>
      <c r="Y21" t="str">
        <f t="shared" si="10"/>
        <v>05:45 PM</v>
      </c>
      <c r="Z21">
        <f t="shared" si="11"/>
        <v>17</v>
      </c>
      <c r="AA21">
        <f t="shared" si="12"/>
        <v>20</v>
      </c>
      <c r="AB21">
        <f t="shared" si="13"/>
        <v>0</v>
      </c>
    </row>
    <row r="22" spans="1:28" x14ac:dyDescent="0.3">
      <c r="AA22">
        <f>ROW(A21)</f>
        <v>21</v>
      </c>
      <c r="AB22">
        <f t="shared" si="13"/>
        <v>0</v>
      </c>
    </row>
    <row r="23" spans="1:28" x14ac:dyDescent="0.3">
      <c r="AA23">
        <f t="shared" si="12"/>
        <v>22</v>
      </c>
      <c r="AB23">
        <f t="shared" si="13"/>
        <v>0</v>
      </c>
    </row>
    <row r="24" spans="1:28" x14ac:dyDescent="0.3">
      <c r="AA24">
        <f t="shared" si="12"/>
        <v>23</v>
      </c>
      <c r="AB24">
        <f t="shared" si="13"/>
        <v>0</v>
      </c>
    </row>
    <row r="25" spans="1:28" x14ac:dyDescent="0.3">
      <c r="AA25">
        <f>ROW(A24)</f>
        <v>24</v>
      </c>
      <c r="AB25">
        <f t="shared" si="13"/>
        <v>0</v>
      </c>
    </row>
  </sheetData>
  <sortState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I1" workbookViewId="0">
      <selection activeCell="P16" sqref="P16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45963</v>
      </c>
      <c r="R2">
        <f ca="1">DATEDIF(D2,$P$2,"D")</f>
        <v>992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908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835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790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715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661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609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555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505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483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508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1012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961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885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795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745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613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545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467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M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ASUS</cp:lastModifiedBy>
  <dcterms:created xsi:type="dcterms:W3CDTF">2015-06-05T18:17:20Z</dcterms:created>
  <dcterms:modified xsi:type="dcterms:W3CDTF">2025-11-02T11:03:54Z</dcterms:modified>
</cp:coreProperties>
</file>